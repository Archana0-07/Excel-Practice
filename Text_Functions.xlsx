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388C15DE-DBB3-49ED-8C85-F67795A054EA}" xr6:coauthVersionLast="47" xr6:coauthVersionMax="47" xr10:uidLastSave="{00000000-0000-0000-0000-000000000000}"/>
  <bookViews>
    <workbookView xWindow="-108" yWindow="-108" windowWidth="23256" windowHeight="12456" xr2:uid="{9B9F93C2-DE3F-47F9-A19A-E9E5EFDCCC62}"/>
  </bookViews>
  <sheets>
    <sheet name="Text formul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O10" i="1" l="1" a="1"/>
  <c r="AL6" i="1"/>
  <c r="AL7" i="1"/>
  <c r="AL8" i="1"/>
  <c r="AL9" i="1"/>
  <c r="AL10" i="1"/>
  <c r="AL11" i="1"/>
  <c r="AL12" i="1"/>
  <c r="AL13" i="1"/>
  <c r="AL14" i="1"/>
  <c r="AL15" i="1"/>
  <c r="AL16" i="1"/>
  <c r="AL17" i="1"/>
  <c r="AL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5" i="1"/>
  <c r="Y6" i="1"/>
  <c r="Y7" i="1"/>
  <c r="Y8" i="1"/>
  <c r="Y9" i="1"/>
  <c r="Y10" i="1"/>
  <c r="Y11" i="1"/>
  <c r="Y12" i="1"/>
  <c r="Y13" i="1"/>
  <c r="Y14" i="1"/>
  <c r="Y15" i="1"/>
  <c r="Y16" i="1"/>
  <c r="Y17" i="1"/>
  <c r="Y5" i="1"/>
  <c r="V6" i="1"/>
  <c r="V7" i="1"/>
  <c r="V8" i="1"/>
  <c r="V9" i="1"/>
  <c r="V10" i="1"/>
  <c r="V11" i="1"/>
  <c r="V12" i="1"/>
  <c r="V13" i="1"/>
  <c r="V14" i="1"/>
  <c r="V15" i="1"/>
  <c r="V16" i="1"/>
  <c r="V17" i="1"/>
  <c r="V5" i="1"/>
  <c r="K5" i="1"/>
  <c r="K6" i="1"/>
  <c r="K7" i="1"/>
  <c r="K8" i="1"/>
  <c r="K9" i="1"/>
  <c r="K10" i="1"/>
  <c r="K11" i="1"/>
  <c r="K12" i="1"/>
  <c r="K13" i="1"/>
  <c r="K14" i="1"/>
  <c r="K15" i="1"/>
  <c r="K16" i="1"/>
  <c r="K17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<sst xmlns="http://schemas.openxmlformats.org/spreadsheetml/2006/main" count="205" uniqueCount="76">
  <si>
    <t xml:space="preserve"> practice data</t>
  </si>
  <si>
    <t>Region</t>
  </si>
  <si>
    <t>State</t>
  </si>
  <si>
    <t>Category</t>
  </si>
  <si>
    <t>Sub-Category</t>
  </si>
  <si>
    <t>Sales</t>
  </si>
  <si>
    <t>Quantity</t>
  </si>
  <si>
    <t>West</t>
  </si>
  <si>
    <t>Rajasthan</t>
  </si>
  <si>
    <t>Furniture</t>
  </si>
  <si>
    <t>Bookcases</t>
  </si>
  <si>
    <t>East</t>
  </si>
  <si>
    <t>West Bengal</t>
  </si>
  <si>
    <t>Bihar</t>
  </si>
  <si>
    <t>Office Supplies</t>
  </si>
  <si>
    <t>Paper</t>
  </si>
  <si>
    <t>Gujarat</t>
  </si>
  <si>
    <t>Technology</t>
  </si>
  <si>
    <t>Phones</t>
  </si>
  <si>
    <t>Maharashtra</t>
  </si>
  <si>
    <t>Chairs</t>
  </si>
  <si>
    <t>Odisha</t>
  </si>
  <si>
    <t>Laptops</t>
  </si>
  <si>
    <t>Tables</t>
  </si>
  <si>
    <t>South</t>
  </si>
  <si>
    <t>Karnataka</t>
  </si>
  <si>
    <t>Binders</t>
  </si>
  <si>
    <r>
      <rPr>
        <b/>
        <sz val="22"/>
        <color theme="1"/>
        <rFont val="Calibri"/>
        <family val="2"/>
        <scheme val="minor"/>
      </rPr>
      <t xml:space="preserve">      </t>
    </r>
    <r>
      <rPr>
        <b/>
        <sz val="18"/>
        <color theme="1"/>
        <rFont val="Calibri"/>
        <family val="2"/>
        <scheme val="minor"/>
      </rPr>
      <t xml:space="preserve">         Text Join</t>
    </r>
  </si>
  <si>
    <t>#=TEXTJOIN("Delimeter",ignore_empty,text1,text2….)</t>
  </si>
  <si>
    <t>works on range</t>
  </si>
  <si>
    <t xml:space="preserve">automatic delimeter </t>
  </si>
  <si>
    <t>excel new version</t>
  </si>
  <si>
    <t>can ignore empty cells</t>
  </si>
  <si>
    <t>Split text</t>
  </si>
  <si>
    <t>convert formula into values</t>
  </si>
  <si>
    <t>STEP 1</t>
  </si>
  <si>
    <t>Select the entire row and column</t>
  </si>
  <si>
    <t>STEP 2</t>
  </si>
  <si>
    <t>Ctrl + alt + v</t>
  </si>
  <si>
    <t>STEP 3</t>
  </si>
  <si>
    <t>press v - value</t>
  </si>
  <si>
    <t>STEP 4</t>
  </si>
  <si>
    <t>Go to data  - text columns - delimeter</t>
  </si>
  <si>
    <t>STEP 5</t>
  </si>
  <si>
    <t>Select the delimeter - finish</t>
  </si>
  <si>
    <t>Concatenate</t>
  </si>
  <si>
    <t>#=CONCATENATE(text1,text2...)</t>
  </si>
  <si>
    <t>#=CONCATENATE(text1,"delimeter ",text2…)</t>
  </si>
  <si>
    <t>Old excel function  ( before2016 )</t>
  </si>
  <si>
    <t>Join text from multiple cell</t>
  </si>
  <si>
    <t>only join individual cells,no ranges directly</t>
  </si>
  <si>
    <t>NO automatic delimeter</t>
  </si>
  <si>
    <t>CONCAT</t>
  </si>
  <si>
    <t>#=CONCAT(txt," ",txt1," ",txt…)</t>
  </si>
  <si>
    <t>#=CONCATE(txt1:txt2)</t>
  </si>
  <si>
    <t>can use range directly</t>
  </si>
  <si>
    <t xml:space="preserve">join all values </t>
  </si>
  <si>
    <t>no automatic delimeter</t>
  </si>
  <si>
    <t>Right Function</t>
  </si>
  <si>
    <t>#=RIGHT(text, num_chars)</t>
  </si>
  <si>
    <t>Extract data from right end</t>
  </si>
  <si>
    <t>Left Function</t>
  </si>
  <si>
    <t>#=LEFT(text,num_chars)</t>
  </si>
  <si>
    <t>Extract data from left end</t>
  </si>
  <si>
    <t>Mid Function</t>
  </si>
  <si>
    <t>#=MID(txt,start_num,num_chars)</t>
  </si>
  <si>
    <t>Extract chars from middle of a txt</t>
  </si>
  <si>
    <t>Transpose</t>
  </si>
  <si>
    <t>#=TRANSPOSE(ARRAY)</t>
  </si>
  <si>
    <t>Steps for static transpose(value only)</t>
  </si>
  <si>
    <t xml:space="preserve">STEP1 </t>
  </si>
  <si>
    <t>Copy the cell you want to transpose</t>
  </si>
  <si>
    <t>STEP2</t>
  </si>
  <si>
    <t>Right click  - paste special - transpose</t>
  </si>
  <si>
    <t xml:space="preserve">STEP3 </t>
  </si>
  <si>
    <t>The valuse will be filled without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</si>
</sst>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ACB8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 applyAlignment="1">
      <alignment horizontal="center"/>
    </xf>
    <xf numFmtId="0" fontId="0" fillId="3" borderId="1" xfId="0" applyFill="1" applyBorder="1"/>
    <xf numFmtId="0" fontId="0" fillId="0" borderId="1" xfId="0" applyBorder="1"/>
    <xf numFmtId="0" fontId="1" fillId="2" borderId="0" xfId="0" applyFont="1" applyFill="1"/>
    <xf numFmtId="0" fontId="0" fillId="5" borderId="1" xfId="0" applyFill="1" applyBorder="1"/>
    <xf numFmtId="0" fontId="5" fillId="6" borderId="1" xfId="0" applyFont="1" applyFill="1" applyBorder="1"/>
    <xf numFmtId="0" fontId="0" fillId="7" borderId="1" xfId="0" applyFill="1" applyBorder="1"/>
    <xf numFmtId="0" fontId="6" fillId="6" borderId="1" xfId="0" applyFont="1" applyFill="1" applyBorder="1" applyAlignment="1">
      <alignment horizontal="center"/>
    </xf>
    <xf numFmtId="0" fontId="0" fillId="8" borderId="2" xfId="0" applyFill="1" applyBorder="1"/>
    <xf numFmtId="0" fontId="0" fillId="8" borderId="3" xfId="0" applyFill="1" applyBorder="1"/>
    <xf numFmtId="0" fontId="0" fillId="8" borderId="4" xfId="0" applyFill="1" applyBorder="1"/>
    <xf numFmtId="0" fontId="0" fillId="8" borderId="1" xfId="0" applyFill="1" applyBorder="1"/>
    <xf numFmtId="0" fontId="2" fillId="2" borderId="0" xfId="0" applyFont="1" applyFill="1" applyAlignment="1">
      <alignment horizontal="center"/>
    </xf>
    <xf numFmtId="0" fontId="0" fillId="6" borderId="1" xfId="0" applyFill="1" applyBorder="1"/>
    <xf numFmtId="0" fontId="6" fillId="4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0" fillId="6" borderId="1" xfId="0" applyFill="1" applyBorder="1"/>
    <xf numFmtId="0" fontId="0" fillId="7" borderId="1" xfId="0" applyFill="1" applyBorder="1"/>
    <xf numFmtId="0" fontId="7" fillId="2" borderId="0" xfId="0" applyFont="1" applyFill="1"/>
    <xf numFmtId="0" fontId="1" fillId="6" borderId="1" xfId="0" applyFont="1" applyFill="1" applyBorder="1" applyAlignment="1">
      <alignment horizontal="center"/>
    </xf>
    <xf numFmtId="0" fontId="0" fillId="9" borderId="1" xfId="0" applyFill="1" applyBorder="1"/>
    <xf numFmtId="0" fontId="0" fillId="9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ACB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F35F5-A2D6-49C2-B22D-0DB32FA2588F}">
  <dimension ref="C3:AR27"/>
  <sheetViews>
    <sheetView tabSelected="1" workbookViewId="0">
      <selection activeCell="AR20" sqref="AR20"/>
    </sheetView>
  </sheetViews>
  <sheetFormatPr defaultRowHeight="14.4" x14ac:dyDescent="0.3"/>
  <cols>
    <col min="4" max="4" width="13.6640625" customWidth="1"/>
    <col min="5" max="5" width="15.33203125" customWidth="1"/>
    <col min="6" max="6" width="13.44140625" customWidth="1"/>
    <col min="11" max="11" width="50.6640625" customWidth="1"/>
    <col min="14" max="14" width="12.6640625" customWidth="1"/>
    <col min="15" max="15" width="14.88671875" customWidth="1"/>
    <col min="16" max="16" width="13.88671875" customWidth="1"/>
    <col min="17" max="17" width="13.21875" customWidth="1"/>
    <col min="22" max="22" width="38.5546875" customWidth="1"/>
    <col min="25" max="25" width="27.5546875" customWidth="1"/>
    <col min="33" max="33" width="12.44140625" customWidth="1"/>
    <col min="37" max="37" width="13.5546875" customWidth="1"/>
    <col min="38" max="38" width="15.33203125" customWidth="1"/>
    <col min="42" max="42" width="11.109375" bestFit="1" customWidth="1"/>
    <col min="43" max="43" width="11.33203125" customWidth="1"/>
    <col min="44" max="44" width="13.77734375" customWidth="1"/>
  </cols>
  <sheetData>
    <row r="3" spans="3:44" ht="28.8" x14ac:dyDescent="0.55000000000000004">
      <c r="C3" s="1" t="s">
        <v>0</v>
      </c>
      <c r="D3" s="1"/>
      <c r="E3" s="1"/>
      <c r="F3" s="1"/>
      <c r="G3" s="1"/>
      <c r="H3" s="1"/>
      <c r="K3" s="4" t="s">
        <v>27</v>
      </c>
      <c r="N3" s="1" t="s">
        <v>33</v>
      </c>
      <c r="O3" s="1"/>
      <c r="P3" s="1"/>
      <c r="Q3" s="1"/>
      <c r="R3" s="1"/>
      <c r="S3" s="1"/>
      <c r="V3" s="13" t="s">
        <v>45</v>
      </c>
      <c r="Y3" s="15" t="s">
        <v>52</v>
      </c>
      <c r="AB3" s="16" t="s">
        <v>58</v>
      </c>
      <c r="AC3" s="16"/>
      <c r="AD3" s="16"/>
      <c r="AG3" s="19" t="s">
        <v>61</v>
      </c>
      <c r="AH3" s="19"/>
      <c r="AK3" s="16" t="s">
        <v>64</v>
      </c>
      <c r="AL3" s="16"/>
      <c r="AO3" s="1" t="s">
        <v>67</v>
      </c>
      <c r="AP3" s="1"/>
    </row>
    <row r="5" spans="3:44" x14ac:dyDescent="0.3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K5" s="5" t="str">
        <f>_xlfn.TEXTJOIN("-",TRUE,C5:H5)</f>
        <v>Region-State-Category-Sub-Category-Sales-Quantity</v>
      </c>
      <c r="N5" s="5" t="s">
        <v>1</v>
      </c>
      <c r="O5" s="5" t="s">
        <v>2</v>
      </c>
      <c r="P5" s="5" t="s">
        <v>3</v>
      </c>
      <c r="Q5" s="5" t="s">
        <v>4</v>
      </c>
      <c r="R5" s="5" t="s">
        <v>5</v>
      </c>
      <c r="S5" s="5" t="s">
        <v>6</v>
      </c>
      <c r="V5" s="5" t="str">
        <f>CONCATENATE(N5,"  -   ",O5,"   -   ",Q5)</f>
        <v>Region  -   State   -   Sub-Category</v>
      </c>
      <c r="Y5" s="5" t="str">
        <f>_xlfn.CONCAT(N5,"   ",R5,"   ",S5)</f>
        <v>Region   Sales   Quantity</v>
      </c>
      <c r="AB5" s="5" t="s">
        <v>1</v>
      </c>
      <c r="AC5" s="3" t="str">
        <f>RIGHT(C5,3)</f>
        <v>ion</v>
      </c>
      <c r="AD5" s="3" t="str">
        <f>RIGHT(AB5,2)</f>
        <v>on</v>
      </c>
      <c r="AG5" s="2" t="s">
        <v>2</v>
      </c>
      <c r="AH5" s="3" t="str">
        <f>LEFT(AG5,4)</f>
        <v>Stat</v>
      </c>
      <c r="AK5" s="2" t="s">
        <v>3</v>
      </c>
      <c r="AL5" s="3" t="str">
        <f>MID(AK5,3,5)</f>
        <v>tegor</v>
      </c>
      <c r="AO5" s="2" t="s">
        <v>1</v>
      </c>
      <c r="AP5" s="2" t="s">
        <v>2</v>
      </c>
    </row>
    <row r="6" spans="3:44" x14ac:dyDescent="0.3">
      <c r="C6" s="3" t="s">
        <v>7</v>
      </c>
      <c r="D6" s="3" t="s">
        <v>8</v>
      </c>
      <c r="E6" s="3" t="s">
        <v>9</v>
      </c>
      <c r="F6" s="3" t="s">
        <v>10</v>
      </c>
      <c r="G6" s="3">
        <v>6156.11</v>
      </c>
      <c r="H6" s="3">
        <v>11</v>
      </c>
      <c r="K6" s="3" t="str">
        <f t="shared" ref="K6:K17" si="0">_xlfn.TEXTJOIN("-",TRUE,C6:H6)</f>
        <v>West-Rajasthan-Furniture-Bookcases-6156.11-11</v>
      </c>
      <c r="N6" s="3" t="s">
        <v>7</v>
      </c>
      <c r="O6" s="3" t="s">
        <v>8</v>
      </c>
      <c r="P6" s="3" t="s">
        <v>9</v>
      </c>
      <c r="Q6" s="3" t="s">
        <v>10</v>
      </c>
      <c r="R6" s="3">
        <v>6156.11</v>
      </c>
      <c r="S6" s="3">
        <v>11</v>
      </c>
      <c r="V6" s="3" t="str">
        <f t="shared" ref="V6:V17" si="1">CONCATENATE(N6,"  -   ",O6,"   -   ",Q6)</f>
        <v>West  -   Rajasthan   -   Bookcases</v>
      </c>
      <c r="Y6" s="3" t="str">
        <f t="shared" ref="Y6:Y17" si="2">_xlfn.CONCAT(N6,"   ",R6,"   ",S6)</f>
        <v>West   6156.11   11</v>
      </c>
      <c r="AB6" s="3" t="s">
        <v>7</v>
      </c>
      <c r="AC6" s="3" t="str">
        <f t="shared" ref="AC6:AC17" si="3">RIGHT(C6,3)</f>
        <v>est</v>
      </c>
      <c r="AD6" s="3" t="str">
        <f t="shared" ref="AD6:AD17" si="4">RIGHT(AB6,2)</f>
        <v>st</v>
      </c>
      <c r="AG6" s="3" t="s">
        <v>8</v>
      </c>
      <c r="AH6" s="3" t="str">
        <f t="shared" ref="AH6:AH17" si="5">LEFT(AG6,4)</f>
        <v>Raja</v>
      </c>
      <c r="AK6" s="3" t="s">
        <v>9</v>
      </c>
      <c r="AL6" s="3" t="str">
        <f t="shared" ref="AL6:AL17" si="6">MID(AK6,3,5)</f>
        <v>rnitu</v>
      </c>
      <c r="AO6" s="3" t="s">
        <v>7</v>
      </c>
      <c r="AP6" s="3" t="s">
        <v>8</v>
      </c>
    </row>
    <row r="7" spans="3:44" x14ac:dyDescent="0.3">
      <c r="C7" s="3" t="s">
        <v>11</v>
      </c>
      <c r="D7" s="3" t="s">
        <v>12</v>
      </c>
      <c r="E7" s="3" t="s">
        <v>9</v>
      </c>
      <c r="F7" s="3" t="s">
        <v>10</v>
      </c>
      <c r="G7" s="3">
        <v>2497.08</v>
      </c>
      <c r="H7" s="3">
        <v>4</v>
      </c>
      <c r="K7" s="3" t="str">
        <f t="shared" si="0"/>
        <v>East-West Bengal-Furniture-Bookcases-2497.08-4</v>
      </c>
      <c r="N7" s="3" t="s">
        <v>11</v>
      </c>
      <c r="O7" s="3" t="s">
        <v>12</v>
      </c>
      <c r="P7" s="3" t="s">
        <v>9</v>
      </c>
      <c r="Q7" s="3" t="s">
        <v>10</v>
      </c>
      <c r="R7" s="3">
        <v>2497.08</v>
      </c>
      <c r="S7" s="3">
        <v>4</v>
      </c>
      <c r="V7" s="3" t="str">
        <f t="shared" si="1"/>
        <v>East  -   West Bengal   -   Bookcases</v>
      </c>
      <c r="Y7" s="3" t="str">
        <f t="shared" si="2"/>
        <v>East   2497.08   4</v>
      </c>
      <c r="AB7" s="3" t="s">
        <v>11</v>
      </c>
      <c r="AC7" s="3" t="str">
        <f t="shared" si="3"/>
        <v>ast</v>
      </c>
      <c r="AD7" s="3" t="str">
        <f t="shared" si="4"/>
        <v>st</v>
      </c>
      <c r="AG7" s="3" t="s">
        <v>12</v>
      </c>
      <c r="AH7" s="3" t="str">
        <f t="shared" si="5"/>
        <v>West</v>
      </c>
      <c r="AK7" s="3" t="s">
        <v>9</v>
      </c>
      <c r="AL7" s="3" t="str">
        <f t="shared" si="6"/>
        <v>rnitu</v>
      </c>
      <c r="AO7" s="3" t="s">
        <v>11</v>
      </c>
      <c r="AP7" s="3" t="s">
        <v>12</v>
      </c>
    </row>
    <row r="8" spans="3:44" x14ac:dyDescent="0.3">
      <c r="C8" s="3" t="s">
        <v>11</v>
      </c>
      <c r="D8" s="3" t="s">
        <v>13</v>
      </c>
      <c r="E8" s="3" t="s">
        <v>14</v>
      </c>
      <c r="F8" s="3" t="s">
        <v>15</v>
      </c>
      <c r="G8" s="3">
        <v>26428.32</v>
      </c>
      <c r="H8" s="3">
        <v>9</v>
      </c>
      <c r="K8" s="3" t="str">
        <f t="shared" si="0"/>
        <v>East-Bihar-Office Supplies-Paper-26428.32-9</v>
      </c>
      <c r="N8" s="3" t="s">
        <v>11</v>
      </c>
      <c r="O8" s="3" t="s">
        <v>13</v>
      </c>
      <c r="P8" s="3" t="s">
        <v>14</v>
      </c>
      <c r="Q8" s="3" t="s">
        <v>15</v>
      </c>
      <c r="R8" s="3">
        <v>26428.32</v>
      </c>
      <c r="S8" s="3">
        <v>9</v>
      </c>
      <c r="V8" s="3" t="str">
        <f t="shared" si="1"/>
        <v>East  -   Bihar   -   Paper</v>
      </c>
      <c r="Y8" s="3" t="str">
        <f t="shared" si="2"/>
        <v>East   26428.32   9</v>
      </c>
      <c r="AB8" s="3" t="s">
        <v>11</v>
      </c>
      <c r="AC8" s="3" t="str">
        <f t="shared" si="3"/>
        <v>ast</v>
      </c>
      <c r="AD8" s="3" t="str">
        <f t="shared" si="4"/>
        <v>st</v>
      </c>
      <c r="AG8" s="3" t="s">
        <v>13</v>
      </c>
      <c r="AH8" s="3" t="str">
        <f t="shared" si="5"/>
        <v>Biha</v>
      </c>
      <c r="AK8" s="3" t="s">
        <v>14</v>
      </c>
      <c r="AL8" s="3" t="str">
        <f t="shared" si="6"/>
        <v xml:space="preserve">fice </v>
      </c>
      <c r="AO8" s="3" t="s">
        <v>11</v>
      </c>
      <c r="AP8" s="3" t="s">
        <v>13</v>
      </c>
    </row>
    <row r="9" spans="3:44" x14ac:dyDescent="0.3">
      <c r="C9" s="3" t="s">
        <v>7</v>
      </c>
      <c r="D9" s="3" t="s">
        <v>16</v>
      </c>
      <c r="E9" s="3" t="s">
        <v>17</v>
      </c>
      <c r="F9" s="3" t="s">
        <v>18</v>
      </c>
      <c r="G9" s="3">
        <v>3985.93</v>
      </c>
      <c r="H9" s="3">
        <v>8</v>
      </c>
      <c r="K9" s="3" t="str">
        <f t="shared" si="0"/>
        <v>West-Gujarat-Technology-Phones-3985.93-8</v>
      </c>
      <c r="N9" s="3" t="s">
        <v>7</v>
      </c>
      <c r="O9" s="3" t="s">
        <v>16</v>
      </c>
      <c r="P9" s="3" t="s">
        <v>17</v>
      </c>
      <c r="Q9" s="3" t="s">
        <v>18</v>
      </c>
      <c r="R9" s="3">
        <v>3985.93</v>
      </c>
      <c r="S9" s="3">
        <v>8</v>
      </c>
      <c r="V9" s="3" t="str">
        <f t="shared" si="1"/>
        <v>West  -   Gujarat   -   Phones</v>
      </c>
      <c r="Y9" s="3" t="str">
        <f t="shared" si="2"/>
        <v>West   3985.93   8</v>
      </c>
      <c r="AB9" s="3" t="s">
        <v>7</v>
      </c>
      <c r="AC9" s="3" t="str">
        <f t="shared" si="3"/>
        <v>est</v>
      </c>
      <c r="AD9" s="3" t="str">
        <f t="shared" si="4"/>
        <v>st</v>
      </c>
      <c r="AG9" s="3" t="s">
        <v>16</v>
      </c>
      <c r="AH9" s="3" t="str">
        <f t="shared" si="5"/>
        <v>Guja</v>
      </c>
      <c r="AK9" s="3" t="s">
        <v>17</v>
      </c>
      <c r="AL9" s="3" t="str">
        <f t="shared" si="6"/>
        <v>chnol</v>
      </c>
    </row>
    <row r="10" spans="3:44" x14ac:dyDescent="0.3">
      <c r="C10" s="3" t="s">
        <v>7</v>
      </c>
      <c r="D10" s="3" t="s">
        <v>19</v>
      </c>
      <c r="E10" s="3" t="s">
        <v>9</v>
      </c>
      <c r="F10" s="3" t="s">
        <v>20</v>
      </c>
      <c r="G10" s="3">
        <v>35623.120000000003</v>
      </c>
      <c r="H10" s="3">
        <v>4</v>
      </c>
      <c r="K10" s="3" t="str">
        <f t="shared" si="0"/>
        <v>West-Maharashtra-Furniture-Chairs-35623.12-4</v>
      </c>
      <c r="N10" s="3" t="s">
        <v>7</v>
      </c>
      <c r="O10" s="3" t="s">
        <v>19</v>
      </c>
      <c r="P10" s="3" t="s">
        <v>9</v>
      </c>
      <c r="Q10" s="3" t="s">
        <v>20</v>
      </c>
      <c r="R10" s="3">
        <v>35623.120000000003</v>
      </c>
      <c r="S10" s="3">
        <v>4</v>
      </c>
      <c r="V10" s="3" t="str">
        <f t="shared" si="1"/>
        <v>West  -   Maharashtra   -   Chairs</v>
      </c>
      <c r="Y10" s="3" t="str">
        <f t="shared" si="2"/>
        <v>West   35623.12   4</v>
      </c>
      <c r="AB10" s="3" t="s">
        <v>7</v>
      </c>
      <c r="AC10" s="3" t="str">
        <f t="shared" si="3"/>
        <v>est</v>
      </c>
      <c r="AD10" s="3" t="str">
        <f t="shared" si="4"/>
        <v>st</v>
      </c>
      <c r="AG10" s="3" t="s">
        <v>19</v>
      </c>
      <c r="AH10" s="3" t="str">
        <f t="shared" si="5"/>
        <v>Maha</v>
      </c>
      <c r="AK10" s="3" t="s">
        <v>9</v>
      </c>
      <c r="AL10" s="3" t="str">
        <f t="shared" si="6"/>
        <v>rnitu</v>
      </c>
      <c r="AO10" s="5" t="str" cm="1">
        <f t="array" ref="AO10:AR11">TRANSPOSE(AO5:AP8)</f>
        <v>Region</v>
      </c>
      <c r="AP10" s="3" t="str">
        <v>West</v>
      </c>
      <c r="AQ10" s="3" t="str">
        <v>East</v>
      </c>
      <c r="AR10" s="3" t="str">
        <v>East</v>
      </c>
    </row>
    <row r="11" spans="3:44" x14ac:dyDescent="0.3">
      <c r="C11" s="3" t="s">
        <v>11</v>
      </c>
      <c r="D11" s="3" t="s">
        <v>21</v>
      </c>
      <c r="E11" s="3" t="s">
        <v>17</v>
      </c>
      <c r="F11" s="3" t="s">
        <v>22</v>
      </c>
      <c r="G11" s="3">
        <v>2531.48</v>
      </c>
      <c r="H11" s="3">
        <v>1</v>
      </c>
      <c r="K11" s="3" t="str">
        <f t="shared" si="0"/>
        <v>East-Odisha-Technology-Laptops-2531.48-1</v>
      </c>
      <c r="N11" s="3" t="s">
        <v>11</v>
      </c>
      <c r="O11" s="3" t="s">
        <v>21</v>
      </c>
      <c r="P11" s="3" t="s">
        <v>17</v>
      </c>
      <c r="Q11" s="3" t="s">
        <v>22</v>
      </c>
      <c r="R11" s="3">
        <v>2531.48</v>
      </c>
      <c r="S11" s="3">
        <v>1</v>
      </c>
      <c r="V11" s="3" t="str">
        <f t="shared" si="1"/>
        <v>East  -   Odisha   -   Laptops</v>
      </c>
      <c r="Y11" s="3" t="str">
        <f t="shared" si="2"/>
        <v>East   2531.48   1</v>
      </c>
      <c r="AB11" s="3" t="s">
        <v>11</v>
      </c>
      <c r="AC11" s="3" t="str">
        <f t="shared" si="3"/>
        <v>ast</v>
      </c>
      <c r="AD11" s="3" t="str">
        <f t="shared" si="4"/>
        <v>st</v>
      </c>
      <c r="AG11" s="3" t="s">
        <v>21</v>
      </c>
      <c r="AH11" s="3" t="str">
        <f t="shared" si="5"/>
        <v>Odis</v>
      </c>
      <c r="AK11" s="3" t="s">
        <v>17</v>
      </c>
      <c r="AL11" s="3" t="str">
        <f t="shared" si="6"/>
        <v>chnol</v>
      </c>
      <c r="AO11" s="5" t="str">
        <v>State</v>
      </c>
      <c r="AP11" s="3" t="str">
        <v>Rajasthan</v>
      </c>
      <c r="AQ11" s="3" t="str">
        <v>West Bengal</v>
      </c>
      <c r="AR11" s="3" t="str">
        <v>Bihar</v>
      </c>
    </row>
    <row r="12" spans="3:44" x14ac:dyDescent="0.3">
      <c r="C12" s="3" t="s">
        <v>7</v>
      </c>
      <c r="D12" s="3" t="s">
        <v>19</v>
      </c>
      <c r="E12" s="3" t="s">
        <v>17</v>
      </c>
      <c r="F12" s="3" t="s">
        <v>18</v>
      </c>
      <c r="G12" s="3">
        <v>22171.07</v>
      </c>
      <c r="H12" s="3">
        <v>7</v>
      </c>
      <c r="K12" s="3" t="str">
        <f t="shared" si="0"/>
        <v>West-Maharashtra-Technology-Phones-22171.07-7</v>
      </c>
      <c r="N12" s="3" t="s">
        <v>7</v>
      </c>
      <c r="O12" s="3" t="s">
        <v>19</v>
      </c>
      <c r="P12" s="3" t="s">
        <v>17</v>
      </c>
      <c r="Q12" s="3" t="s">
        <v>18</v>
      </c>
      <c r="R12" s="3">
        <v>22171.07</v>
      </c>
      <c r="S12" s="3">
        <v>7</v>
      </c>
      <c r="V12" s="3" t="str">
        <f t="shared" si="1"/>
        <v>West  -   Maharashtra   -   Phones</v>
      </c>
      <c r="Y12" s="3" t="str">
        <f t="shared" si="2"/>
        <v>West   22171.07   7</v>
      </c>
      <c r="AB12" s="3" t="s">
        <v>7</v>
      </c>
      <c r="AC12" s="3" t="str">
        <f t="shared" si="3"/>
        <v>est</v>
      </c>
      <c r="AD12" s="3" t="str">
        <f t="shared" si="4"/>
        <v>st</v>
      </c>
      <c r="AG12" s="3" t="s">
        <v>19</v>
      </c>
      <c r="AH12" s="3" t="str">
        <f t="shared" si="5"/>
        <v>Maha</v>
      </c>
      <c r="AK12" s="3" t="s">
        <v>17</v>
      </c>
      <c r="AL12" s="3" t="str">
        <f t="shared" si="6"/>
        <v>chnol</v>
      </c>
    </row>
    <row r="13" spans="3:44" x14ac:dyDescent="0.3">
      <c r="C13" s="3" t="s">
        <v>7</v>
      </c>
      <c r="D13" s="3" t="s">
        <v>16</v>
      </c>
      <c r="E13" s="3" t="s">
        <v>9</v>
      </c>
      <c r="F13" s="3" t="s">
        <v>23</v>
      </c>
      <c r="G13" s="3">
        <v>39734.959999999999</v>
      </c>
      <c r="H13" s="3">
        <v>7</v>
      </c>
      <c r="K13" s="3" t="str">
        <f t="shared" si="0"/>
        <v>West-Gujarat-Furniture-Tables-39734.96-7</v>
      </c>
      <c r="N13" s="3" t="s">
        <v>7</v>
      </c>
      <c r="O13" s="3" t="s">
        <v>16</v>
      </c>
      <c r="P13" s="3" t="s">
        <v>9</v>
      </c>
      <c r="Q13" s="3" t="s">
        <v>23</v>
      </c>
      <c r="R13" s="3">
        <v>39734.959999999999</v>
      </c>
      <c r="S13" s="3">
        <v>7</v>
      </c>
      <c r="V13" s="3" t="str">
        <f t="shared" si="1"/>
        <v>West  -   Gujarat   -   Tables</v>
      </c>
      <c r="Y13" s="3" t="str">
        <f t="shared" si="2"/>
        <v>West   39734.96   7</v>
      </c>
      <c r="AB13" s="3" t="s">
        <v>7</v>
      </c>
      <c r="AC13" s="3" t="str">
        <f t="shared" si="3"/>
        <v>est</v>
      </c>
      <c r="AD13" s="3" t="str">
        <f t="shared" si="4"/>
        <v>st</v>
      </c>
      <c r="AG13" s="3" t="s">
        <v>16</v>
      </c>
      <c r="AH13" s="3" t="str">
        <f t="shared" si="5"/>
        <v>Guja</v>
      </c>
      <c r="AK13" s="3" t="s">
        <v>9</v>
      </c>
      <c r="AL13" s="3" t="str">
        <f t="shared" si="6"/>
        <v>rnitu</v>
      </c>
    </row>
    <row r="14" spans="3:44" x14ac:dyDescent="0.3">
      <c r="C14" s="3" t="s">
        <v>11</v>
      </c>
      <c r="D14" s="3" t="s">
        <v>21</v>
      </c>
      <c r="E14" s="3" t="s">
        <v>9</v>
      </c>
      <c r="F14" s="3" t="s">
        <v>23</v>
      </c>
      <c r="G14" s="3">
        <v>14723.88</v>
      </c>
      <c r="H14" s="3">
        <v>6</v>
      </c>
      <c r="K14" s="3" t="str">
        <f t="shared" si="0"/>
        <v>East-Odisha-Furniture-Tables-14723.88-6</v>
      </c>
      <c r="N14" s="3" t="s">
        <v>11</v>
      </c>
      <c r="O14" s="3" t="s">
        <v>21</v>
      </c>
      <c r="P14" s="3" t="s">
        <v>9</v>
      </c>
      <c r="Q14" s="3" t="s">
        <v>23</v>
      </c>
      <c r="R14" s="3">
        <v>14723.88</v>
      </c>
      <c r="S14" s="3">
        <v>6</v>
      </c>
      <c r="V14" s="3" t="str">
        <f t="shared" si="1"/>
        <v>East  -   Odisha   -   Tables</v>
      </c>
      <c r="Y14" s="3" t="str">
        <f t="shared" si="2"/>
        <v>East   14723.88   6</v>
      </c>
      <c r="AB14" s="3" t="s">
        <v>11</v>
      </c>
      <c r="AC14" s="3" t="str">
        <f t="shared" si="3"/>
        <v>ast</v>
      </c>
      <c r="AD14" s="3" t="str">
        <f t="shared" si="4"/>
        <v>st</v>
      </c>
      <c r="AG14" s="3" t="s">
        <v>21</v>
      </c>
      <c r="AH14" s="3" t="str">
        <f t="shared" si="5"/>
        <v>Odis</v>
      </c>
      <c r="AK14" s="3" t="s">
        <v>9</v>
      </c>
      <c r="AL14" s="3" t="str">
        <f t="shared" si="6"/>
        <v>rnitu</v>
      </c>
    </row>
    <row r="15" spans="3:44" x14ac:dyDescent="0.3">
      <c r="C15" s="3" t="s">
        <v>24</v>
      </c>
      <c r="D15" s="3" t="s">
        <v>25</v>
      </c>
      <c r="E15" s="3" t="s">
        <v>17</v>
      </c>
      <c r="F15" s="3" t="s">
        <v>18</v>
      </c>
      <c r="G15" s="3">
        <v>17331.900000000001</v>
      </c>
      <c r="H15" s="3">
        <v>7</v>
      </c>
      <c r="K15" s="3" t="str">
        <f t="shared" si="0"/>
        <v>South-Karnataka-Technology-Phones-17331.9-7</v>
      </c>
      <c r="N15" s="3" t="s">
        <v>24</v>
      </c>
      <c r="O15" s="3" t="s">
        <v>25</v>
      </c>
      <c r="P15" s="3" t="s">
        <v>17</v>
      </c>
      <c r="Q15" s="3" t="s">
        <v>18</v>
      </c>
      <c r="R15" s="3">
        <v>17331.900000000001</v>
      </c>
      <c r="S15" s="3">
        <v>7</v>
      </c>
      <c r="V15" s="3" t="str">
        <f t="shared" si="1"/>
        <v>South  -   Karnataka   -   Phones</v>
      </c>
      <c r="Y15" s="3" t="str">
        <f t="shared" si="2"/>
        <v>South   17331.9   7</v>
      </c>
      <c r="AB15" s="3" t="s">
        <v>24</v>
      </c>
      <c r="AC15" s="3" t="str">
        <f t="shared" si="3"/>
        <v>uth</v>
      </c>
      <c r="AD15" s="3" t="str">
        <f t="shared" si="4"/>
        <v>th</v>
      </c>
      <c r="AG15" s="3" t="s">
        <v>25</v>
      </c>
      <c r="AH15" s="3" t="str">
        <f t="shared" si="5"/>
        <v>Karn</v>
      </c>
      <c r="AK15" s="3" t="s">
        <v>17</v>
      </c>
      <c r="AL15" s="3" t="str">
        <f t="shared" si="6"/>
        <v>chnol</v>
      </c>
      <c r="AO15" s="17" t="s">
        <v>68</v>
      </c>
      <c r="AP15" s="17"/>
    </row>
    <row r="16" spans="3:44" x14ac:dyDescent="0.3">
      <c r="C16" s="3" t="s">
        <v>11</v>
      </c>
      <c r="D16" s="3" t="s">
        <v>13</v>
      </c>
      <c r="E16" s="3" t="s">
        <v>14</v>
      </c>
      <c r="F16" s="3" t="s">
        <v>26</v>
      </c>
      <c r="G16" s="3">
        <v>1761.17</v>
      </c>
      <c r="H16" s="3">
        <v>6</v>
      </c>
      <c r="K16" s="3" t="str">
        <f t="shared" si="0"/>
        <v>East-Bihar-Office Supplies-Binders-1761.17-6</v>
      </c>
      <c r="N16" s="3" t="s">
        <v>11</v>
      </c>
      <c r="O16" s="3" t="s">
        <v>13</v>
      </c>
      <c r="P16" s="3" t="s">
        <v>14</v>
      </c>
      <c r="Q16" s="3" t="s">
        <v>26</v>
      </c>
      <c r="R16" s="3">
        <v>1761.17</v>
      </c>
      <c r="S16" s="3">
        <v>6</v>
      </c>
      <c r="V16" s="3" t="str">
        <f t="shared" si="1"/>
        <v>East  -   Bihar   -   Binders</v>
      </c>
      <c r="Y16" s="3" t="str">
        <f t="shared" si="2"/>
        <v>East   1761.17   6</v>
      </c>
      <c r="AB16" s="3" t="s">
        <v>11</v>
      </c>
      <c r="AC16" s="3" t="str">
        <f t="shared" si="3"/>
        <v>ast</v>
      </c>
      <c r="AD16" s="3" t="str">
        <f t="shared" si="4"/>
        <v>st</v>
      </c>
      <c r="AG16" s="3" t="s">
        <v>13</v>
      </c>
      <c r="AH16" s="3" t="str">
        <f t="shared" si="5"/>
        <v>Biha</v>
      </c>
      <c r="AK16" s="3" t="s">
        <v>14</v>
      </c>
      <c r="AL16" s="3" t="str">
        <f t="shared" si="6"/>
        <v xml:space="preserve">fice </v>
      </c>
    </row>
    <row r="17" spans="3:44" x14ac:dyDescent="0.3">
      <c r="C17" s="3" t="s">
        <v>7</v>
      </c>
      <c r="D17" s="3" t="s">
        <v>8</v>
      </c>
      <c r="E17" s="3" t="s">
        <v>14</v>
      </c>
      <c r="F17" s="3" t="s">
        <v>15</v>
      </c>
      <c r="G17" s="3">
        <v>40094.21</v>
      </c>
      <c r="H17" s="3">
        <v>7</v>
      </c>
      <c r="K17" s="3" t="str">
        <f t="shared" si="0"/>
        <v>West-Rajasthan-Office Supplies-Paper-40094.21-7</v>
      </c>
      <c r="N17" s="3" t="s">
        <v>7</v>
      </c>
      <c r="O17" s="3" t="s">
        <v>8</v>
      </c>
      <c r="P17" s="3" t="s">
        <v>14</v>
      </c>
      <c r="Q17" s="3" t="s">
        <v>15</v>
      </c>
      <c r="R17" s="3">
        <v>40094.21</v>
      </c>
      <c r="S17" s="3">
        <v>7</v>
      </c>
      <c r="V17" s="3" t="str">
        <f t="shared" si="1"/>
        <v>West  -   Rajasthan   -   Paper</v>
      </c>
      <c r="Y17" s="3" t="str">
        <f t="shared" si="2"/>
        <v>West   40094.21   7</v>
      </c>
      <c r="AB17" s="3" t="s">
        <v>7</v>
      </c>
      <c r="AC17" s="3" t="str">
        <f t="shared" si="3"/>
        <v>est</v>
      </c>
      <c r="AD17" s="3" t="str">
        <f t="shared" si="4"/>
        <v>st</v>
      </c>
      <c r="AG17" s="3" t="s">
        <v>8</v>
      </c>
      <c r="AH17" s="3" t="str">
        <f t="shared" si="5"/>
        <v>Raja</v>
      </c>
      <c r="AK17" s="3" t="s">
        <v>14</v>
      </c>
      <c r="AL17" s="3" t="str">
        <f t="shared" si="6"/>
        <v xml:space="preserve">fice </v>
      </c>
      <c r="AO17" s="20" t="s">
        <v>69</v>
      </c>
      <c r="AP17" s="20"/>
      <c r="AQ17" s="20"/>
      <c r="AR17" s="20"/>
    </row>
    <row r="19" spans="3:44" x14ac:dyDescent="0.3">
      <c r="AO19" s="7" t="s">
        <v>70</v>
      </c>
      <c r="AP19" s="21" t="s">
        <v>71</v>
      </c>
      <c r="AQ19" s="21"/>
      <c r="AR19" s="22"/>
    </row>
    <row r="20" spans="3:44" ht="18" x14ac:dyDescent="0.35">
      <c r="K20" s="6" t="s">
        <v>28</v>
      </c>
      <c r="N20" s="8" t="s">
        <v>34</v>
      </c>
      <c r="O20" s="8"/>
      <c r="P20" s="8"/>
      <c r="Q20" s="8"/>
      <c r="R20" s="8"/>
      <c r="S20" s="8"/>
      <c r="V20" s="14" t="s">
        <v>46</v>
      </c>
      <c r="Y20" s="14" t="s">
        <v>53</v>
      </c>
      <c r="AB20" s="17" t="s">
        <v>59</v>
      </c>
      <c r="AC20" s="17"/>
      <c r="AD20" s="17"/>
      <c r="AG20" s="17" t="s">
        <v>62</v>
      </c>
      <c r="AH20" s="17"/>
      <c r="AK20" s="17" t="s">
        <v>65</v>
      </c>
      <c r="AL20" s="17"/>
      <c r="AO20" s="7" t="s">
        <v>72</v>
      </c>
      <c r="AP20" s="21" t="s">
        <v>73</v>
      </c>
      <c r="AQ20" s="21"/>
      <c r="AR20" s="22"/>
    </row>
    <row r="21" spans="3:44" x14ac:dyDescent="0.3">
      <c r="AO21" s="7" t="s">
        <v>74</v>
      </c>
      <c r="AP21" s="21" t="s">
        <v>75</v>
      </c>
      <c r="AQ21" s="21"/>
      <c r="AR21" s="22"/>
    </row>
    <row r="22" spans="3:44" x14ac:dyDescent="0.3">
      <c r="K22" s="7" t="s">
        <v>29</v>
      </c>
      <c r="N22" s="7" t="s">
        <v>35</v>
      </c>
      <c r="O22" s="9" t="s">
        <v>36</v>
      </c>
      <c r="P22" s="10"/>
      <c r="Q22" s="10"/>
      <c r="R22" s="10"/>
      <c r="S22" s="11"/>
      <c r="V22" s="14" t="s">
        <v>47</v>
      </c>
      <c r="Y22" s="14" t="s">
        <v>54</v>
      </c>
    </row>
    <row r="23" spans="3:44" x14ac:dyDescent="0.3">
      <c r="K23" s="7" t="s">
        <v>30</v>
      </c>
      <c r="N23" s="7" t="s">
        <v>37</v>
      </c>
      <c r="O23" s="9" t="s">
        <v>38</v>
      </c>
      <c r="P23" s="10"/>
      <c r="Q23" s="10"/>
      <c r="R23" s="10"/>
      <c r="S23" s="11"/>
      <c r="AB23" s="18" t="s">
        <v>60</v>
      </c>
      <c r="AC23" s="18"/>
      <c r="AD23" s="18"/>
      <c r="AG23" s="7" t="s">
        <v>63</v>
      </c>
      <c r="AH23" s="7"/>
      <c r="AK23" s="18" t="s">
        <v>66</v>
      </c>
      <c r="AL23" s="18"/>
    </row>
    <row r="24" spans="3:44" x14ac:dyDescent="0.3">
      <c r="K24" s="7" t="s">
        <v>31</v>
      </c>
      <c r="N24" s="7" t="s">
        <v>39</v>
      </c>
      <c r="O24" s="12" t="s">
        <v>40</v>
      </c>
      <c r="P24" s="12"/>
      <c r="Q24" s="12"/>
      <c r="R24" s="12"/>
      <c r="S24" s="12"/>
      <c r="V24" s="7" t="s">
        <v>48</v>
      </c>
      <c r="Y24" s="7" t="s">
        <v>55</v>
      </c>
    </row>
    <row r="25" spans="3:44" x14ac:dyDescent="0.3">
      <c r="K25" s="7" t="s">
        <v>32</v>
      </c>
      <c r="N25" s="7" t="s">
        <v>41</v>
      </c>
      <c r="O25" s="12" t="s">
        <v>42</v>
      </c>
      <c r="P25" s="12"/>
      <c r="Q25" s="12"/>
      <c r="R25" s="12"/>
      <c r="S25" s="12"/>
      <c r="V25" s="7" t="s">
        <v>49</v>
      </c>
      <c r="Y25" s="7" t="s">
        <v>56</v>
      </c>
    </row>
    <row r="26" spans="3:44" x14ac:dyDescent="0.3">
      <c r="N26" s="7" t="s">
        <v>43</v>
      </c>
      <c r="O26" s="12" t="s">
        <v>44</v>
      </c>
      <c r="P26" s="12"/>
      <c r="Q26" s="12"/>
      <c r="R26" s="12"/>
      <c r="S26" s="12"/>
      <c r="V26" s="7" t="s">
        <v>50</v>
      </c>
      <c r="Y26" s="7" t="s">
        <v>57</v>
      </c>
    </row>
    <row r="27" spans="3:44" x14ac:dyDescent="0.3">
      <c r="V27" s="7" t="s">
        <v>51</v>
      </c>
    </row>
  </sheetData>
  <mergeCells count="19">
    <mergeCell ref="AK3:AL3"/>
    <mergeCell ref="AK20:AL20"/>
    <mergeCell ref="AK23:AL23"/>
    <mergeCell ref="AO3:AP3"/>
    <mergeCell ref="AO15:AP15"/>
    <mergeCell ref="AO17:AR17"/>
    <mergeCell ref="O25:S25"/>
    <mergeCell ref="O26:S26"/>
    <mergeCell ref="AB3:AD3"/>
    <mergeCell ref="AB20:AD20"/>
    <mergeCell ref="AB23:AD23"/>
    <mergeCell ref="AG3:AH3"/>
    <mergeCell ref="AG20:AH20"/>
    <mergeCell ref="C3:H3"/>
    <mergeCell ref="N3:S3"/>
    <mergeCell ref="N20:S20"/>
    <mergeCell ref="O22:S22"/>
    <mergeCell ref="O23:S23"/>
    <mergeCell ref="O24:S2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formula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Sekar</dc:creator>
  <cp:lastModifiedBy>Archana Sekar</cp:lastModifiedBy>
  <dcterms:created xsi:type="dcterms:W3CDTF">2026-07-05T07:30:59Z</dcterms:created>
  <dcterms:modified xsi:type="dcterms:W3CDTF">2026-07-05T08:03:55Z</dcterms:modified>
</cp:coreProperties>
</file>