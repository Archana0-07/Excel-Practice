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B3863458-64D2-4E92-A047-EFD292873692}" xr6:coauthVersionLast="47" xr6:coauthVersionMax="47" xr10:uidLastSave="{00000000-0000-0000-0000-000000000000}"/>
  <bookViews>
    <workbookView xWindow="-108" yWindow="-108" windowWidth="23256" windowHeight="12456" xr2:uid="{5C83A2A0-4423-45B2-8ED4-18E095F89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1" i="1" l="1"/>
  <c r="AH12" i="1"/>
  <c r="AH13" i="1"/>
  <c r="AH14" i="1"/>
  <c r="AH10" i="1"/>
  <c r="AB11" i="1" a="1"/>
  <c r="AB12" i="1" a="1"/>
  <c r="AB13" i="1" a="1"/>
  <c r="AB14" i="1" a="1"/>
  <c r="AB10" i="1" a="1"/>
  <c r="W7" i="1"/>
  <c r="W8" i="1"/>
  <c r="W9" i="1"/>
  <c r="W10" i="1"/>
  <c r="W6" i="1"/>
  <c r="Q7" i="1"/>
  <c r="Q8" i="1"/>
  <c r="Q9" i="1"/>
  <c r="Q10" i="1"/>
  <c r="Q6" i="1"/>
  <c r="K7" i="1"/>
  <c r="K8" i="1"/>
  <c r="K9" i="1"/>
  <c r="K10" i="1"/>
  <c r="K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<sst xmlns="http://schemas.openxmlformats.org/spreadsheetml/2006/main" count="95" uniqueCount="72">
  <si>
    <t>Operators in Excel</t>
  </si>
  <si>
    <t>operator</t>
  </si>
  <si>
    <t>meaning</t>
  </si>
  <si>
    <t>example</t>
  </si>
  <si>
    <t xml:space="preserve">    +</t>
  </si>
  <si>
    <t>add</t>
  </si>
  <si>
    <t xml:space="preserve"> =A1+A2</t>
  </si>
  <si>
    <t xml:space="preserve">    -</t>
  </si>
  <si>
    <t>sub</t>
  </si>
  <si>
    <t xml:space="preserve">  =A1-A2</t>
  </si>
  <si>
    <t xml:space="preserve">    *</t>
  </si>
  <si>
    <t>mul</t>
  </si>
  <si>
    <t xml:space="preserve">  =A1*A2</t>
  </si>
  <si>
    <t xml:space="preserve">   /</t>
  </si>
  <si>
    <t>div</t>
  </si>
  <si>
    <t xml:space="preserve">  =A1/A2</t>
  </si>
  <si>
    <t xml:space="preserve">   ^</t>
  </si>
  <si>
    <t>pow/expo</t>
  </si>
  <si>
    <t xml:space="preserve">  =A1^A2</t>
  </si>
  <si>
    <t>Relative Reference</t>
  </si>
  <si>
    <t>Employee Name</t>
  </si>
  <si>
    <t>Salary</t>
  </si>
  <si>
    <t>Deduction</t>
  </si>
  <si>
    <t>Total Salary</t>
  </si>
  <si>
    <t>Karthi</t>
  </si>
  <si>
    <t>Mani</t>
  </si>
  <si>
    <t>Raj</t>
  </si>
  <si>
    <t>Achu</t>
  </si>
  <si>
    <t>Pavi</t>
  </si>
  <si>
    <t>Change, move , default</t>
  </si>
  <si>
    <t>no $ (like A1)</t>
  </si>
  <si>
    <t>adjusts automatically when copied to other cell</t>
  </si>
  <si>
    <t>Absolute</t>
  </si>
  <si>
    <t>fixed , lock , $ sign</t>
  </si>
  <si>
    <t>$ before column and / or row (like $A$1)</t>
  </si>
  <si>
    <t>does not change when copied</t>
  </si>
  <si>
    <t>IF  Condition</t>
  </si>
  <si>
    <t>State</t>
  </si>
  <si>
    <t>Target Sales</t>
  </si>
  <si>
    <t>Ach. Sales</t>
  </si>
  <si>
    <t>IF</t>
  </si>
  <si>
    <t>TN</t>
  </si>
  <si>
    <t>KL</t>
  </si>
  <si>
    <t>AP</t>
  </si>
  <si>
    <t>SL</t>
  </si>
  <si>
    <t>ER</t>
  </si>
  <si>
    <t>#=IF(logical_test, true_value, false_value)</t>
  </si>
  <si>
    <t xml:space="preserve">logical_test </t>
  </si>
  <si>
    <t xml:space="preserve"> the condition to check (e.g A1&gt;50)</t>
  </si>
  <si>
    <t>true_value</t>
  </si>
  <si>
    <t>what to show if condition is TRUE</t>
  </si>
  <si>
    <t>false_value</t>
  </si>
  <si>
    <t xml:space="preserve"> what to show if condition is FALSE</t>
  </si>
  <si>
    <t>IFS Condition</t>
  </si>
  <si>
    <t>A</t>
  </si>
  <si>
    <t>B</t>
  </si>
  <si>
    <t>C</t>
  </si>
  <si>
    <t>D</t>
  </si>
  <si>
    <t>Student</t>
  </si>
  <si>
    <t>Marks</t>
  </si>
  <si>
    <t>Grade</t>
  </si>
  <si>
    <t>Ram</t>
  </si>
  <si>
    <t>Kishore</t>
  </si>
  <si>
    <t>Sundar</t>
  </si>
  <si>
    <t>#=IFS(cond1, val1, cond2, val2, cond3, vaL3, …)</t>
  </si>
  <si>
    <t>condition1</t>
  </si>
  <si>
    <t>first condition to test</t>
  </si>
  <si>
    <t>value1</t>
  </si>
  <si>
    <t>value to return if cond1 is TRUE</t>
  </si>
  <si>
    <t>Nested IF</t>
  </si>
  <si>
    <t>#=IF(cond,true_val,IF(condt,true_value,IF(cond,true_val,false_val..)</t>
  </si>
  <si>
    <t>usinfg multiple IF stmt = nested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</si>
</sst>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0" borderId="0" xfId="0" applyFont="1" applyAlignment="1">
      <alignment horizontal="center"/>
    </xf>
    <xf numFmtId="4" fontId="0" fillId="0" borderId="1" xfId="0" applyNumberFormat="1" applyBorder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F9F7-37CD-4411-AAD4-3E3885698A85}">
  <dimension ref="C3:AJ19"/>
  <sheetViews>
    <sheetView tabSelected="1" workbookViewId="0">
      <selection activeCell="AJ2" sqref="AJ2"/>
    </sheetView>
  </sheetViews>
  <sheetFormatPr defaultRowHeight="14.4" x14ac:dyDescent="0.3"/>
  <cols>
    <col min="11" max="11" width="11.77734375" customWidth="1"/>
    <col min="17" max="17" width="12.21875" customWidth="1"/>
    <col min="20" max="20" width="12.77734375" customWidth="1"/>
    <col min="23" max="23" width="12" customWidth="1"/>
    <col min="29" max="29" width="17.6640625" customWidth="1"/>
    <col min="34" max="34" width="11.21875" customWidth="1"/>
    <col min="36" max="36" width="18.21875" customWidth="1"/>
  </cols>
  <sheetData>
    <row r="3" spans="3:36" ht="21" x14ac:dyDescent="0.4">
      <c r="C3" s="1" t="s">
        <v>0</v>
      </c>
      <c r="D3" s="1"/>
      <c r="E3" s="1"/>
      <c r="H3" s="1" t="s">
        <v>19</v>
      </c>
      <c r="I3" s="1"/>
      <c r="J3" s="1"/>
      <c r="K3" s="1"/>
      <c r="N3" s="1" t="s">
        <v>32</v>
      </c>
      <c r="O3" s="1"/>
      <c r="P3" s="1"/>
      <c r="Q3" s="1"/>
      <c r="T3" s="1" t="s">
        <v>36</v>
      </c>
      <c r="U3" s="1"/>
      <c r="V3" s="1"/>
      <c r="W3" s="1"/>
      <c r="Z3" s="1" t="s">
        <v>53</v>
      </c>
      <c r="AA3" s="1"/>
      <c r="AB3" s="1"/>
      <c r="AC3" s="1"/>
      <c r="AF3" s="1" t="s">
        <v>69</v>
      </c>
      <c r="AG3" s="1"/>
      <c r="AH3" s="1"/>
      <c r="AI3" s="1"/>
    </row>
    <row r="4" spans="3:36" ht="18" x14ac:dyDescent="0.35">
      <c r="H4" s="4"/>
      <c r="I4" s="4"/>
      <c r="J4" s="4"/>
      <c r="K4" s="4"/>
    </row>
    <row r="5" spans="3:36" x14ac:dyDescent="0.3">
      <c r="C5" s="2" t="s">
        <v>1</v>
      </c>
      <c r="D5" s="2" t="s">
        <v>2</v>
      </c>
      <c r="E5" s="2" t="s">
        <v>3</v>
      </c>
      <c r="H5" s="2" t="s">
        <v>20</v>
      </c>
      <c r="I5" s="2" t="s">
        <v>21</v>
      </c>
      <c r="J5" s="2" t="s">
        <v>22</v>
      </c>
      <c r="K5" s="2" t="s">
        <v>23</v>
      </c>
      <c r="N5" s="2" t="s">
        <v>20</v>
      </c>
      <c r="O5" s="2" t="s">
        <v>21</v>
      </c>
      <c r="P5" s="2" t="s">
        <v>22</v>
      </c>
      <c r="Q5" s="2" t="s">
        <v>23</v>
      </c>
      <c r="T5" s="2" t="s">
        <v>37</v>
      </c>
      <c r="U5" s="2" t="s">
        <v>38</v>
      </c>
      <c r="V5" s="2" t="s">
        <v>39</v>
      </c>
      <c r="W5" s="2" t="s">
        <v>40</v>
      </c>
      <c r="Z5" s="10" t="s">
        <v>54</v>
      </c>
      <c r="AA5" s="11" t="s">
        <v>55</v>
      </c>
      <c r="AB5" s="12" t="s">
        <v>56</v>
      </c>
      <c r="AC5" s="13" t="s">
        <v>57</v>
      </c>
      <c r="AF5" s="10" t="s">
        <v>54</v>
      </c>
      <c r="AG5" s="11" t="s">
        <v>55</v>
      </c>
      <c r="AH5" s="12" t="s">
        <v>56</v>
      </c>
      <c r="AI5" s="13" t="s">
        <v>57</v>
      </c>
    </row>
    <row r="6" spans="3:36" x14ac:dyDescent="0.3">
      <c r="C6" s="3" t="s">
        <v>4</v>
      </c>
      <c r="D6" s="3" t="s">
        <v>5</v>
      </c>
      <c r="E6" s="3" t="s">
        <v>6</v>
      </c>
      <c r="H6" s="3" t="s">
        <v>24</v>
      </c>
      <c r="I6" s="5">
        <v>10000</v>
      </c>
      <c r="J6" s="3">
        <v>1500</v>
      </c>
      <c r="K6" s="5">
        <f>I6-J6</f>
        <v>8500</v>
      </c>
      <c r="N6" s="3" t="s">
        <v>24</v>
      </c>
      <c r="O6" s="5">
        <v>10000</v>
      </c>
      <c r="P6" s="3">
        <v>1500</v>
      </c>
      <c r="Q6" s="5">
        <f>O6-$P$6</f>
        <v>8500</v>
      </c>
      <c r="T6" s="3" t="s">
        <v>41</v>
      </c>
      <c r="U6" s="3">
        <v>100</v>
      </c>
      <c r="V6" s="3">
        <v>50</v>
      </c>
      <c r="W6" s="3" t="str">
        <f>IF(V6&gt;=U6,"Achieved","Yet to Ach.")</f>
        <v>Yet to Ach.</v>
      </c>
      <c r="Z6" s="3">
        <v>95</v>
      </c>
      <c r="AA6" s="3">
        <v>85</v>
      </c>
      <c r="AB6" s="3">
        <v>70</v>
      </c>
      <c r="AC6" s="3">
        <v>70</v>
      </c>
      <c r="AF6" s="3">
        <v>95</v>
      </c>
      <c r="AG6" s="3">
        <v>85</v>
      </c>
      <c r="AH6" s="3">
        <v>70</v>
      </c>
      <c r="AI6" s="3">
        <v>70</v>
      </c>
    </row>
    <row r="7" spans="3:36" x14ac:dyDescent="0.3">
      <c r="C7" s="3" t="s">
        <v>7</v>
      </c>
      <c r="D7" s="3" t="s">
        <v>8</v>
      </c>
      <c r="E7" s="3" t="s">
        <v>9</v>
      </c>
      <c r="H7" s="3" t="s">
        <v>25</v>
      </c>
      <c r="I7" s="5">
        <v>20000</v>
      </c>
      <c r="J7" s="3">
        <v>2500</v>
      </c>
      <c r="K7" s="5">
        <f t="shared" ref="K7:K10" si="0">I7-J7</f>
        <v>17500</v>
      </c>
      <c r="N7" s="3" t="s">
        <v>25</v>
      </c>
      <c r="O7" s="5">
        <v>20000</v>
      </c>
      <c r="P7" s="3"/>
      <c r="Q7" s="5">
        <f t="shared" ref="Q7:Q10" si="1">O7-$P$6</f>
        <v>18500</v>
      </c>
      <c r="T7" s="3" t="s">
        <v>42</v>
      </c>
      <c r="U7" s="3">
        <v>120</v>
      </c>
      <c r="V7" s="3">
        <v>121</v>
      </c>
      <c r="W7" s="3" t="str">
        <f t="shared" ref="W7:W10" si="2">IF(V7&gt;=U7,"Achieved","Yet to Ach.")</f>
        <v>Achieved</v>
      </c>
    </row>
    <row r="8" spans="3:36" x14ac:dyDescent="0.3">
      <c r="C8" s="3" t="s">
        <v>10</v>
      </c>
      <c r="D8" s="3" t="s">
        <v>11</v>
      </c>
      <c r="E8" s="3" t="s">
        <v>12</v>
      </c>
      <c r="H8" s="3" t="s">
        <v>26</v>
      </c>
      <c r="I8" s="5">
        <v>30000</v>
      </c>
      <c r="J8" s="3">
        <v>1800</v>
      </c>
      <c r="K8" s="5">
        <f t="shared" si="0"/>
        <v>28200</v>
      </c>
      <c r="N8" s="3" t="s">
        <v>26</v>
      </c>
      <c r="O8" s="5">
        <v>30000</v>
      </c>
      <c r="P8" s="3"/>
      <c r="Q8" s="5">
        <f t="shared" si="1"/>
        <v>28500</v>
      </c>
      <c r="T8" s="3" t="s">
        <v>43</v>
      </c>
      <c r="U8" s="3">
        <v>150</v>
      </c>
      <c r="V8" s="3">
        <v>150</v>
      </c>
      <c r="W8" s="3" t="str">
        <f t="shared" si="2"/>
        <v>Achieved</v>
      </c>
    </row>
    <row r="9" spans="3:36" x14ac:dyDescent="0.3">
      <c r="C9" s="3" t="s">
        <v>13</v>
      </c>
      <c r="D9" s="3" t="s">
        <v>14</v>
      </c>
      <c r="E9" s="3" t="s">
        <v>15</v>
      </c>
      <c r="H9" s="3" t="s">
        <v>27</v>
      </c>
      <c r="I9" s="5">
        <v>56945</v>
      </c>
      <c r="J9" s="3">
        <v>2300</v>
      </c>
      <c r="K9" s="5">
        <f t="shared" si="0"/>
        <v>54645</v>
      </c>
      <c r="N9" s="3" t="s">
        <v>27</v>
      </c>
      <c r="O9" s="5">
        <v>56945</v>
      </c>
      <c r="P9" s="3"/>
      <c r="Q9" s="5">
        <f t="shared" si="1"/>
        <v>55445</v>
      </c>
      <c r="T9" s="3" t="s">
        <v>44</v>
      </c>
      <c r="U9" s="3">
        <v>90</v>
      </c>
      <c r="V9" s="3">
        <v>85</v>
      </c>
      <c r="W9" s="3" t="str">
        <f t="shared" si="2"/>
        <v>Yet to Ach.</v>
      </c>
      <c r="Z9" s="2" t="s">
        <v>58</v>
      </c>
      <c r="AA9" s="2" t="s">
        <v>59</v>
      </c>
      <c r="AB9" s="2" t="s">
        <v>60</v>
      </c>
      <c r="AF9" s="2" t="s">
        <v>58</v>
      </c>
      <c r="AG9" s="2" t="s">
        <v>59</v>
      </c>
      <c r="AH9" s="2" t="s">
        <v>60</v>
      </c>
    </row>
    <row r="10" spans="3:36" x14ac:dyDescent="0.3">
      <c r="C10" s="3" t="s">
        <v>16</v>
      </c>
      <c r="D10" s="3" t="s">
        <v>17</v>
      </c>
      <c r="E10" s="3" t="s">
        <v>18</v>
      </c>
      <c r="H10" s="3" t="s">
        <v>28</v>
      </c>
      <c r="I10" s="5">
        <v>12456</v>
      </c>
      <c r="J10" s="3">
        <v>1567</v>
      </c>
      <c r="K10" s="5">
        <f t="shared" si="0"/>
        <v>10889</v>
      </c>
      <c r="N10" s="3" t="s">
        <v>28</v>
      </c>
      <c r="O10" s="5">
        <v>12456</v>
      </c>
      <c r="P10" s="3"/>
      <c r="Q10" s="5">
        <f t="shared" si="1"/>
        <v>10956</v>
      </c>
      <c r="T10" s="3" t="s">
        <v>45</v>
      </c>
      <c r="U10" s="3">
        <v>160</v>
      </c>
      <c r="V10" s="3">
        <v>23</v>
      </c>
      <c r="W10" s="3" t="str">
        <f t="shared" si="2"/>
        <v>Yet to Ach.</v>
      </c>
      <c r="Z10" s="3" t="s">
        <v>61</v>
      </c>
      <c r="AA10" s="3">
        <v>94</v>
      </c>
      <c r="AB10" s="3" t="str" cm="1">
        <f t="array" ref="AB10">_xlfn.IFS(AA10&gt;$Z$6,$Z$5,AA10&gt;$AA$6,$AA$5,AA10&gt;$AB$6,$AB$5,AA10&lt;=$AC$6,$AC$5)</f>
        <v>B</v>
      </c>
      <c r="AF10" s="3" t="s">
        <v>61</v>
      </c>
      <c r="AG10" s="3">
        <v>94</v>
      </c>
      <c r="AH10" s="3" t="str">
        <f>IF(AG10&gt;$AF$6,$AF$5,IF(AG10&gt;$AG$6,$AG$5,IF(AG10&gt;$AH$6,$AH$5,IF(AG10&lt;=$AI$6,$AI$5))))</f>
        <v>B</v>
      </c>
    </row>
    <row r="11" spans="3:36" x14ac:dyDescent="0.3">
      <c r="Z11" s="3" t="s">
        <v>62</v>
      </c>
      <c r="AA11" s="3">
        <v>97</v>
      </c>
      <c r="AB11" s="3" t="str" cm="1">
        <f t="array" ref="AB11">_xlfn.IFS(AA11&gt;$Z$6,$Z$5,AA11&gt;$AA$6,$AA$5,AA11&gt;$AB$6,$AB$5,AA11&lt;=$AC$6,$AC$5)</f>
        <v>A</v>
      </c>
      <c r="AF11" s="3" t="s">
        <v>62</v>
      </c>
      <c r="AG11" s="3">
        <v>97</v>
      </c>
      <c r="AH11" s="3" t="str">
        <f t="shared" ref="AH11:AH14" si="3">IF(AG11&gt;$AF$6,$AF$5,IF(AG11&gt;$AG$6,$AG$5,IF(AG11&gt;$AH$6,$AH$5,IF(AG11&lt;=$AI$6,$AI$5))))</f>
        <v>A</v>
      </c>
    </row>
    <row r="12" spans="3:36" x14ac:dyDescent="0.3">
      <c r="Z12" s="3" t="s">
        <v>63</v>
      </c>
      <c r="AA12" s="3">
        <v>68</v>
      </c>
      <c r="AB12" s="3" t="str" cm="1">
        <f t="array" ref="AB12">_xlfn.IFS(AA12&gt;$Z$6,$Z$5,AA12&gt;$AA$6,$AA$5,AA12&gt;$AB$6,$AB$5,AA12&lt;=$AC$6,$AC$5)</f>
        <v>D</v>
      </c>
      <c r="AF12" s="3" t="s">
        <v>63</v>
      </c>
      <c r="AG12" s="3">
        <v>68</v>
      </c>
      <c r="AH12" s="3" t="str">
        <f t="shared" si="3"/>
        <v>D</v>
      </c>
    </row>
    <row r="13" spans="3:36" x14ac:dyDescent="0.3">
      <c r="H13" s="6" t="s">
        <v>29</v>
      </c>
      <c r="I13" s="6"/>
      <c r="J13" s="6"/>
      <c r="K13" s="6"/>
      <c r="N13" s="6" t="s">
        <v>33</v>
      </c>
      <c r="O13" s="6"/>
      <c r="P13" s="6"/>
      <c r="Q13" s="6"/>
      <c r="T13" s="7" t="s">
        <v>46</v>
      </c>
      <c r="U13" s="7"/>
      <c r="V13" s="7"/>
      <c r="W13" s="7"/>
      <c r="Z13" s="3" t="s">
        <v>27</v>
      </c>
      <c r="AA13" s="3">
        <v>88</v>
      </c>
      <c r="AB13" s="3" t="str" cm="1">
        <f t="array" ref="AB13">_xlfn.IFS(AA13&gt;$Z$6,$Z$5,AA13&gt;$AA$6,$AA$5,AA13&gt;$AB$6,$AB$5,AA13&lt;=$AC$6,$AC$5)</f>
        <v>B</v>
      </c>
      <c r="AF13" s="3" t="s">
        <v>27</v>
      </c>
      <c r="AG13" s="3">
        <v>88</v>
      </c>
      <c r="AH13" s="3" t="str">
        <f t="shared" si="3"/>
        <v>B</v>
      </c>
    </row>
    <row r="14" spans="3:36" x14ac:dyDescent="0.3">
      <c r="H14" s="6" t="s">
        <v>30</v>
      </c>
      <c r="I14" s="6"/>
      <c r="J14" s="6"/>
      <c r="K14" s="6"/>
      <c r="N14" s="6" t="s">
        <v>34</v>
      </c>
      <c r="O14" s="6"/>
      <c r="P14" s="6"/>
      <c r="Q14" s="6"/>
      <c r="Z14" s="3" t="s">
        <v>28</v>
      </c>
      <c r="AA14" s="3">
        <v>76</v>
      </c>
      <c r="AB14" s="3" t="str" cm="1">
        <f t="array" ref="AB14">_xlfn.IFS(AA14&gt;$Z$6,$Z$5,AA14&gt;$AA$6,$AA$5,AA14&gt;$AB$6,$AB$5,AA14&lt;=$AC$6,$AC$5)</f>
        <v>C</v>
      </c>
      <c r="AF14" s="3" t="s">
        <v>28</v>
      </c>
      <c r="AG14" s="3">
        <v>76</v>
      </c>
      <c r="AH14" s="3" t="str">
        <f t="shared" si="3"/>
        <v>C</v>
      </c>
    </row>
    <row r="15" spans="3:36" x14ac:dyDescent="0.3">
      <c r="H15" s="6" t="s">
        <v>31</v>
      </c>
      <c r="I15" s="6"/>
      <c r="J15" s="6"/>
      <c r="K15" s="6"/>
      <c r="N15" s="6" t="s">
        <v>35</v>
      </c>
      <c r="O15" s="6"/>
      <c r="P15" s="6"/>
      <c r="Q15" s="6"/>
      <c r="T15" s="8" t="s">
        <v>47</v>
      </c>
      <c r="U15" s="9" t="s">
        <v>48</v>
      </c>
      <c r="V15" s="9"/>
      <c r="W15" s="9"/>
      <c r="AH15" s="15"/>
    </row>
    <row r="16" spans="3:36" x14ac:dyDescent="0.3">
      <c r="T16" s="8" t="s">
        <v>49</v>
      </c>
      <c r="U16" s="9" t="s">
        <v>50</v>
      </c>
      <c r="V16" s="9"/>
      <c r="W16" s="9"/>
      <c r="Z16" s="7" t="s">
        <v>64</v>
      </c>
      <c r="AA16" s="7"/>
      <c r="AB16" s="7"/>
      <c r="AC16" s="7"/>
      <c r="AF16" s="6" t="s">
        <v>70</v>
      </c>
      <c r="AG16" s="6"/>
      <c r="AH16" s="6"/>
      <c r="AI16" s="6"/>
      <c r="AJ16" s="6"/>
    </row>
    <row r="17" spans="20:34" x14ac:dyDescent="0.3">
      <c r="T17" s="8" t="s">
        <v>51</v>
      </c>
      <c r="U17" s="9" t="s">
        <v>52</v>
      </c>
      <c r="V17" s="9"/>
      <c r="W17" s="9"/>
    </row>
    <row r="18" spans="20:34" x14ac:dyDescent="0.3">
      <c r="Z18" s="8" t="s">
        <v>65</v>
      </c>
      <c r="AA18" s="9" t="s">
        <v>66</v>
      </c>
      <c r="AB18" s="9"/>
      <c r="AC18" s="9"/>
      <c r="AF18" s="14" t="s">
        <v>71</v>
      </c>
      <c r="AG18" s="14"/>
      <c r="AH18" s="14"/>
    </row>
    <row r="19" spans="20:34" x14ac:dyDescent="0.3">
      <c r="Z19" s="8" t="s">
        <v>67</v>
      </c>
      <c r="AA19" s="9" t="s">
        <v>68</v>
      </c>
      <c r="AB19" s="9"/>
      <c r="AC19" s="9"/>
    </row>
  </sheetData>
  <mergeCells count="21">
    <mergeCell ref="AA18:AC18"/>
    <mergeCell ref="AA19:AC19"/>
    <mergeCell ref="AF3:AI3"/>
    <mergeCell ref="AF16:AJ16"/>
    <mergeCell ref="AF18:AH18"/>
    <mergeCell ref="T3:W3"/>
    <mergeCell ref="T13:W13"/>
    <mergeCell ref="U15:W15"/>
    <mergeCell ref="U16:W16"/>
    <mergeCell ref="U17:W17"/>
    <mergeCell ref="Z3:AC3"/>
    <mergeCell ref="Z16:AC16"/>
    <mergeCell ref="C3:E3"/>
    <mergeCell ref="H3:K3"/>
    <mergeCell ref="H13:K13"/>
    <mergeCell ref="H14:K14"/>
    <mergeCell ref="H15:K15"/>
    <mergeCell ref="N3:Q3"/>
    <mergeCell ref="N13:Q13"/>
    <mergeCell ref="N14:Q14"/>
    <mergeCell ref="N15:Q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Sekar</dc:creator>
  <cp:lastModifiedBy>Archana Sekar</cp:lastModifiedBy>
  <dcterms:created xsi:type="dcterms:W3CDTF">2026-07-07T07:43:34Z</dcterms:created>
  <dcterms:modified xsi:type="dcterms:W3CDTF">2026-07-07T08:04:27Z</dcterms:modified>
</cp:coreProperties>
</file>